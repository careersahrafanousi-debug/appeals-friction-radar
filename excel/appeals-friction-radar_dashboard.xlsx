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q_stages" sheetId="2" state="visible" r:id="rId2"/>
    <sheet xmlns:r="http://schemas.openxmlformats.org/officeDocument/2006/relationships" name="q_stages_2" sheetId="3" state="visible" r:id="rId3"/>
    <sheet xmlns:r="http://schemas.openxmlformats.org/officeDocument/2006/relationships" name="q_by_type" sheetId="4" state="visible" r:id="rId4"/>
    <sheet xmlns:r="http://schemas.openxmlformats.org/officeDocument/2006/relationships" name="q_by_type_2" sheetId="5" state="visible" r:id="rId5"/>
    <sheet xmlns:r="http://schemas.openxmlformats.org/officeDocument/2006/relationships" name="q_friction" sheetId="6" state="visible" r:id="rId6"/>
    <sheet xmlns:r="http://schemas.openxmlformats.org/officeDocument/2006/relationships" name="q_doc_gap" sheetId="7" state="visible" r:id="rId7"/>
    <sheet xmlns:r="http://schemas.openxmlformats.org/officeDocument/2006/relationships" name="q_rework" sheetId="8" state="visible" r:id="rId8"/>
    <sheet xmlns:r="http://schemas.openxmlformats.org/officeDocument/2006/relationships" name="q_monthly" sheetId="9" state="visible" r:id="rId9"/>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0F172A"/>
      <sz val="22"/>
    </font>
    <font>
      <name val="Calibri"/>
      <color rgb="00475569"/>
      <sz val="10"/>
    </font>
    <font>
      <b val="1"/>
      <color rgb="00475569"/>
      <sz val="7"/>
    </font>
    <font>
      <b val="1"/>
      <color rgb="000F172A"/>
      <sz val="16"/>
    </font>
    <font>
      <color rgb="00475569"/>
      <sz val="7"/>
    </font>
    <font>
      <b val="1"/>
      <color rgb="00B91C1C"/>
      <sz val="16"/>
    </font>
    <font>
      <b val="1"/>
      <color rgb="00B45309"/>
      <sz val="16"/>
    </font>
    <font>
      <b val="1"/>
      <color rgb="0015803D"/>
      <sz val="16"/>
    </font>
    <font>
      <b val="1"/>
    </font>
    <font>
      <color rgb="00475569"/>
      <sz val="8"/>
    </font>
    <font>
      <name val="Calibri"/>
      <b val="1"/>
      <color rgb="000F172A"/>
      <sz val="11"/>
    </font>
    <font>
      <name val="Calibri"/>
      <color rgb="00475569"/>
      <sz val="9"/>
    </font>
    <font>
      <name val="Calibri"/>
      <color rgb="00475569"/>
      <sz val="8"/>
    </font>
  </fonts>
  <fills count="4">
    <fill>
      <patternFill/>
    </fill>
    <fill>
      <patternFill patternType="gray125"/>
    </fill>
    <fill>
      <patternFill patternType="solid">
        <fgColor rgb="00F1F5F9"/>
      </patternFill>
    </fill>
    <fill>
      <patternFill patternType="solid">
        <fgColor rgb="00FFFFF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6">
    <xf numFmtId="0" fontId="0" fillId="0" borderId="0" pivotButton="0" quotePrefix="0" xfId="0"/>
    <xf numFmtId="0" fontId="0" fillId="3" borderId="0" pivotButton="0" quotePrefix="0" xfId="0"/>
    <xf numFmtId="0" fontId="1" fillId="3" borderId="0" applyAlignment="1" pivotButton="0" quotePrefix="0" xfId="0">
      <alignment vertical="top" wrapText="1"/>
    </xf>
    <xf numFmtId="0" fontId="2" fillId="3" borderId="0" applyAlignment="1" pivotButton="0" quotePrefix="0" xfId="0">
      <alignment vertical="top" wrapText="1"/>
    </xf>
    <xf numFmtId="0" fontId="3" fillId="2" borderId="1" pivotButton="0" quotePrefix="0" xfId="0"/>
    <xf numFmtId="0" fontId="0" fillId="2" borderId="1" pivotButton="0" quotePrefix="0" xfId="0"/>
    <xf numFmtId="0" fontId="4" fillId="2" borderId="1" pivotButton="0" quotePrefix="0" xfId="0"/>
    <xf numFmtId="0" fontId="6" fillId="2" borderId="1" pivotButton="0" quotePrefix="0" xfId="0"/>
    <xf numFmtId="0" fontId="7" fillId="2" borderId="1" pivotButton="0" quotePrefix="0" xfId="0"/>
    <xf numFmtId="0" fontId="5" fillId="2" borderId="1" applyAlignment="1" pivotButton="0" quotePrefix="0" xfId="0">
      <alignment vertical="top" wrapText="1"/>
    </xf>
    <xf numFmtId="0" fontId="8" fillId="2" borderId="1" pivotButton="0" quotePrefix="0" xfId="0"/>
    <xf numFmtId="0" fontId="10" fillId="3" borderId="0" applyAlignment="1" pivotButton="0" quotePrefix="0" xfId="0">
      <alignment vertical="top" wrapText="1"/>
    </xf>
    <xf numFmtId="0" fontId="11" fillId="3" borderId="0" applyAlignment="1" pivotButton="0" quotePrefix="0" xfId="0">
      <alignment vertical="top" wrapText="1"/>
    </xf>
    <xf numFmtId="0" fontId="12" fillId="3" borderId="0" applyAlignment="1" pivotButton="0" quotePrefix="0" xfId="0">
      <alignment vertical="top" wrapText="1"/>
    </xf>
    <xf numFmtId="0" fontId="13" fillId="3" borderId="0" applyAlignment="1" pivotButton="0" quotePrefix="0" xfId="0">
      <alignment vertical="top" wrapText="1"/>
    </xf>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Where the days actually go</a:t>
            </a:r>
          </a:p>
        </rich>
      </tx>
    </title>
    <plotArea>
      <barChart>
        <barDir val="col"/>
        <grouping val="clustered"/>
        <ser>
          <idx val="0"/>
          <order val="0"/>
          <tx>
            <strRef>
              <f>'q_stages'!B1</f>
            </strRef>
          </tx>
          <spPr>
            <a:solidFill xmlns:a="http://schemas.openxmlformats.org/drawingml/2006/main">
              <a:srgbClr val="3B82F6"/>
            </a:solidFill>
            <a:ln xmlns:a="http://schemas.openxmlformats.org/drawingml/2006/main">
              <a:noFill/>
              <a:prstDash val="solid"/>
            </a:ln>
          </spPr>
          <invertIfNegative val="0"/>
          <cat>
            <numRef>
              <f>'q_stages'!$A$2:$A$6</f>
            </numRef>
          </cat>
          <val>
            <numRef>
              <f>'q_stages'!$B$2:$B$6</f>
            </numRef>
          </val>
        </ser>
        <gapWidth val="60"/>
        <axId val="10"/>
        <axId val="100"/>
      </barChart>
      <catAx>
        <axId val="10"/>
        <scaling>
          <orientation val="minMax"/>
        </scaling>
        <axPos val="l"/>
        <majorTickMark val="none"/>
        <minorTickMark val="none"/>
        <crossAx val="100"/>
        <crosses val="autoZero"/>
        <lblOffset val="100"/>
      </catAx>
      <valAx>
        <axId val="100"/>
        <scaling>
          <orientation val="minMax"/>
          <min val="0"/>
        </scaling>
        <axPos val="l"/>
        <majorGridlines/>
        <title>
          <tx>
            <rich>
              <a:bodyPr xmlns:a="http://schemas.openxmlformats.org/drawingml/2006/main"/>
              <a:p xmlns:a="http://schemas.openxmlformats.org/drawingml/2006/main">
                <a:pPr>
                  <a:defRPr/>
                </a:pPr>
                <a:r>
                  <a:t>Average days in stage</a:t>
                </a:r>
              </a:p>
            </rich>
          </tx>
        </title>
        <majorTickMark val="none"/>
        <minorTickMark val="none"/>
        <crossAx val="10"/>
        <crosses val="autoZero"/>
      </valAx>
    </plotArea>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Share of total turnaround</a:t>
            </a:r>
          </a:p>
        </rich>
      </tx>
    </title>
    <plotArea>
      <doughnutChart>
        <varyColors val="1"/>
        <ser>
          <idx val="0"/>
          <order val="0"/>
          <tx>
            <strRef>
              <f>'q_stages_2'!B1</f>
            </strRef>
          </tx>
          <spPr>
            <a:ln xmlns:a="http://schemas.openxmlformats.org/drawingml/2006/main">
              <a:prstDash val="solid"/>
            </a:ln>
          </spPr>
          <cat>
            <numRef>
              <f>'q_stages_2'!$A$2:$A$6</f>
            </numRef>
          </cat>
          <val>
            <numRef>
              <f>'q_stages_2'!$B$2:$B$6</f>
            </numRef>
          </val>
        </ser>
        <firstSliceAng val="0"/>
        <holeSize val="55"/>
      </doughnutChart>
    </plotArea>
    <legend>
      <legendPos val="b"/>
      <overlay val="0"/>
    </legend>
    <plotVisOnly val="1"/>
    <dispBlanksAs val="gap"/>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a:pPr>
            <a:r>
              <a:t>Turnaround against the target, by appeal type</a:t>
            </a:r>
          </a:p>
        </rich>
      </tx>
    </title>
    <plotArea>
      <barChart>
        <barDir val="col"/>
        <grouping val="clustered"/>
        <ser>
          <idx val="0"/>
          <order val="0"/>
          <tx>
            <strRef>
              <f>'q_by_type'!B1</f>
            </strRef>
          </tx>
          <spPr>
            <a:solidFill xmlns:a="http://schemas.openxmlformats.org/drawingml/2006/main">
              <a:srgbClr val="EF4444"/>
            </a:solidFill>
            <a:ln xmlns:a="http://schemas.openxmlformats.org/drawingml/2006/main">
              <a:noFill/>
              <a:prstDash val="solid"/>
            </a:ln>
          </spPr>
          <invertIfNegative val="0"/>
          <cat>
            <numRef>
              <f>'q_by_type'!$A$2:$A$6</f>
            </numRef>
          </cat>
          <val>
            <numRef>
              <f>'q_by_type'!$B$2:$B$6</f>
            </numRef>
          </val>
        </ser>
        <ser>
          <idx val="1"/>
          <order val="1"/>
          <tx>
            <strRef>
              <f>'q_by_type'!C1</f>
            </strRef>
          </tx>
          <spPr>
            <a:solidFill xmlns:a="http://schemas.openxmlformats.org/drawingml/2006/main">
              <a:srgbClr val="94A3B8"/>
            </a:solidFill>
            <a:ln xmlns:a="http://schemas.openxmlformats.org/drawingml/2006/main">
              <a:noFill/>
              <a:prstDash val="solid"/>
            </a:ln>
          </spPr>
          <invertIfNegative val="0"/>
          <cat>
            <numRef>
              <f>'q_by_type'!$A$2:$A$6</f>
            </numRef>
          </cat>
          <val>
            <numRef>
              <f>'q_by_type'!$C$2:$C$6</f>
            </numRef>
          </val>
        </ser>
        <gapWidth val="60"/>
        <axId val="10"/>
        <axId val="100"/>
      </barChart>
      <catAx>
        <axId val="10"/>
        <scaling>
          <orientation val="minMax"/>
        </scaling>
        <axPos val="l"/>
        <majorTickMark val="none"/>
        <minorTickMark val="none"/>
        <crossAx val="100"/>
        <crosses val="autoZero"/>
        <lblOffset val="100"/>
      </catAx>
      <valAx>
        <axId val="100"/>
        <scaling>
          <orientation val="minMax"/>
          <min val="0"/>
        </scaling>
        <axPos val="l"/>
        <majorGridlines/>
        <majorTickMark val="none"/>
        <minorTickMark val="none"/>
        <crossAx val="10"/>
        <crosses val="autoZero"/>
      </valAx>
    </plotArea>
    <legend>
      <legendPos val="b"/>
      <overlay val="0"/>
    </legend>
    <plotVisOnly val="1"/>
    <dispBlanksAs val="gap"/>
  </chart>
</chartSpace>
</file>

<file path=xl/charts/chart4.xml><?xml version="1.0" encoding="utf-8"?>
<chartSpace xmlns="http://schemas.openxmlformats.org/drawingml/2006/chart">
  <style val="2"/>
  <chart>
    <title>
      <tx>
        <rich>
          <a:bodyPr xmlns:a="http://schemas.openxmlformats.org/drawingml/2006/main"/>
          <a:p xmlns:a="http://schemas.openxmlformats.org/drawingml/2006/main">
            <a:pPr>
              <a:defRPr/>
            </a:pPr>
            <a:r>
              <a:t>SLA compliance by type</a:t>
            </a:r>
          </a:p>
        </rich>
      </tx>
    </title>
    <plotArea>
      <barChart>
        <barDir val="bar"/>
        <grouping val="clustered"/>
        <ser>
          <idx val="0"/>
          <order val="0"/>
          <tx>
            <strRef>
              <f>'q_by_type_2'!B1</f>
            </strRef>
          </tx>
          <spPr>
            <a:solidFill xmlns:a="http://schemas.openxmlformats.org/drawingml/2006/main">
              <a:srgbClr val="3B82F6"/>
            </a:solidFill>
            <a:ln xmlns:a="http://schemas.openxmlformats.org/drawingml/2006/main">
              <a:noFill/>
              <a:prstDash val="solid"/>
            </a:ln>
          </spPr>
          <invertIfNegative val="0"/>
          <cat>
            <numRef>
              <f>'q_by_type_2'!$A$2:$A$6</f>
            </numRef>
          </cat>
          <val>
            <numRef>
              <f>'q_by_type_2'!$B$2:$B$6</f>
            </numRef>
          </val>
        </ser>
        <gapWidth val="60"/>
        <axId val="10"/>
        <axId val="100"/>
      </barChart>
      <catAx>
        <axId val="10"/>
        <scaling>
          <orientation val="minMax"/>
        </scaling>
        <axPos val="l"/>
        <majorTickMark val="none"/>
        <minorTickMark val="none"/>
        <crossAx val="100"/>
        <crosses val="autoZero"/>
        <lblOffset val="100"/>
      </catAx>
      <valAx>
        <axId val="100"/>
        <scaling>
          <orientation val="minMax"/>
          <min val="0"/>
        </scaling>
        <axPos val="l"/>
        <majorGridlines/>
        <title>
          <tx>
            <rich>
              <a:bodyPr xmlns:a="http://schemas.openxmlformats.org/drawingml/2006/main"/>
              <a:p xmlns:a="http://schemas.openxmlformats.org/drawingml/2006/main">
                <a:pPr>
                  <a:defRPr/>
                </a:pPr>
                <a:r>
                  <a:t>SLA compliance %</a:t>
                </a:r>
              </a:p>
            </rich>
          </tx>
        </title>
        <majorTickMark val="none"/>
        <minorTickMark val="none"/>
        <crossAx val="10"/>
        <crosses val="autoZero"/>
      </valAx>
    </plotArea>
    <plotVisOnly val="1"/>
    <dispBlanksAs val="gap"/>
  </chart>
</chartSpace>
</file>

<file path=xl/charts/chart5.xml><?xml version="1.0" encoding="utf-8"?>
<chartSpace xmlns="http://schemas.openxmlformats.org/drawingml/2006/chart">
  <style val="2"/>
  <chart>
    <title>
      <tx>
        <rich>
          <a:bodyPr xmlns:a="http://schemas.openxmlformats.org/drawingml/2006/main"/>
          <a:p xmlns:a="http://schemas.openxmlformats.org/drawingml/2006/main">
            <a:pPr>
              <a:defRPr/>
            </a:pPr>
            <a:r>
              <a:t>Friction bands behave the way the score says they should</a:t>
            </a:r>
          </a:p>
        </rich>
      </tx>
    </title>
    <plotArea>
      <lineChart>
        <grouping val="standard"/>
        <ser>
          <idx val="0"/>
          <order val="0"/>
          <tx>
            <strRef>
              <f>'q_friction'!B1</f>
            </strRef>
          </tx>
          <spPr>
            <a:ln xmlns:a="http://schemas.openxmlformats.org/drawingml/2006/main" w="26000">
              <a:solidFill>
                <a:srgbClr val="22C55E"/>
              </a:solidFill>
              <a:prstDash val="solid"/>
            </a:ln>
          </spPr>
          <marker>
            <symbol val="none"/>
            <spPr>
              <a:ln xmlns:a="http://schemas.openxmlformats.org/drawingml/2006/main">
                <a:prstDash val="solid"/>
              </a:ln>
            </spPr>
          </marker>
          <cat>
            <numRef>
              <f>'q_friction'!$A$2:$A$5</f>
            </numRef>
          </cat>
          <val>
            <numRef>
              <f>'q_friction'!$B$2:$B$5</f>
            </numRef>
          </val>
          <smooth val="0"/>
        </ser>
        <ser>
          <idx val="1"/>
          <order val="1"/>
          <tx>
            <strRef>
              <f>'q_friction'!C1</f>
            </strRef>
          </tx>
          <spPr>
            <a:ln xmlns:a="http://schemas.openxmlformats.org/drawingml/2006/main" w="26000">
              <a:solidFill>
                <a:srgbClr val="EF4444"/>
              </a:solidFill>
              <a:prstDash val="solid"/>
            </a:ln>
          </spPr>
          <marker>
            <symbol val="none"/>
            <spPr>
              <a:ln xmlns:a="http://schemas.openxmlformats.org/drawingml/2006/main">
                <a:prstDash val="solid"/>
              </a:ln>
            </spPr>
          </marker>
          <cat>
            <numRef>
              <f>'q_friction'!$A$2:$A$5</f>
            </numRef>
          </cat>
          <val>
            <numRef>
              <f>'q_friction'!$C$2:$C$5</f>
            </numRef>
          </val>
          <smooth val="0"/>
        </ser>
        <axId val="10"/>
        <axId val="100"/>
      </lineChart>
      <barChart>
        <barDir val="col"/>
        <grouping val="clustered"/>
        <ser>
          <idx val="2"/>
          <order val="2"/>
          <tx>
            <strRef>
              <f>'q_friction'!D1</f>
            </strRef>
          </tx>
          <spPr>
            <a:solidFill xmlns:a="http://schemas.openxmlformats.org/drawingml/2006/main">
              <a:srgbClr val="94A3B8"/>
            </a:solidFill>
            <a:ln xmlns:a="http://schemas.openxmlformats.org/drawingml/2006/main">
              <a:noFill/>
              <a:prstDash val="solid"/>
            </a:ln>
          </spPr>
          <invertIfNegative val="0"/>
          <cat>
            <numRef>
              <f>'q_friction'!$A$2:$A$5</f>
            </numRef>
          </cat>
          <val>
            <numRef>
              <f>'q_friction'!$D$2:$D$5</f>
            </numRef>
          </val>
        </ser>
        <gapWidth val="60"/>
        <axId val="10"/>
        <axId val="200"/>
      </barChart>
      <catAx>
        <axId val="10"/>
        <scaling>
          <orientation val="minMax"/>
        </scaling>
        <axPos val="l"/>
        <majorTickMark val="none"/>
        <minorTickMark val="none"/>
        <crossAx val="100"/>
        <crosses val="autoZero"/>
        <lblOffset val="100"/>
      </catAx>
      <valAx>
        <axId val="100"/>
        <scaling>
          <orientation val="minMax"/>
        </scaling>
        <axPos val="l"/>
        <majorGridlines/>
        <title>
          <tx>
            <rich>
              <a:bodyPr xmlns:a="http://schemas.openxmlformats.org/drawingml/2006/main"/>
              <a:p xmlns:a="http://schemas.openxmlformats.org/drawingml/2006/main">
                <a:pPr>
                  <a:defRPr/>
                </a:pPr>
                <a:r>
                  <a:t>Percent</a:t>
                </a:r>
              </a:p>
            </rich>
          </tx>
        </title>
        <majorTickMark val="none"/>
        <minorTickMark val="none"/>
        <crossAx val="10"/>
        <crosses val="autoZero"/>
      </valAx>
      <valAx>
        <axId val="200"/>
        <scaling>
          <orientation val="minMax"/>
          <min val="0"/>
        </scaling>
        <axPos val="l"/>
        <title>
          <tx>
            <rich>
              <a:bodyPr xmlns:a="http://schemas.openxmlformats.org/drawingml/2006/main"/>
              <a:p xmlns:a="http://schemas.openxmlformats.org/drawingml/2006/main">
                <a:pPr>
                  <a:defRPr/>
                </a:pPr>
                <a:r>
                  <a:t>Days</a:t>
                </a:r>
              </a:p>
            </rich>
          </tx>
        </title>
        <majorTickMark val="none"/>
        <minorTickMark val="none"/>
        <crossAx val="10"/>
        <crosses val="max"/>
      </valAx>
    </plotArea>
    <legend>
      <legendPos val="b"/>
      <overlay val="0"/>
    </legend>
    <plotVisOnly val="1"/>
    <dispBlanksAs val="gap"/>
  </chart>
</chartSpace>
</file>

<file path=xl/charts/chart6.xml><?xml version="1.0" encoding="utf-8"?>
<chartSpace xmlns="http://schemas.openxmlformats.org/drawingml/2006/chart">
  <style val="2"/>
  <chart>
    <title>
      <tx>
        <rich>
          <a:bodyPr xmlns:a="http://schemas.openxmlformats.org/drawingml/2006/main"/>
          <a:p xmlns:a="http://schemas.openxmlformats.org/drawingml/2006/main">
            <a:pPr>
              <a:defRPr/>
            </a:pPr>
            <a:r>
              <a:t>The cost of an incomplete intake</a:t>
            </a:r>
          </a:p>
        </rich>
      </tx>
    </title>
    <plotArea>
      <barChart>
        <barDir val="col"/>
        <grouping val="clustered"/>
        <ser>
          <idx val="0"/>
          <order val="0"/>
          <tx>
            <strRef>
              <f>'q_doc_gap'!B1</f>
            </strRef>
          </tx>
          <spPr>
            <a:solidFill xmlns:a="http://schemas.openxmlformats.org/drawingml/2006/main">
              <a:srgbClr val="EF4444"/>
            </a:solidFill>
            <a:ln xmlns:a="http://schemas.openxmlformats.org/drawingml/2006/main">
              <a:noFill/>
              <a:prstDash val="solid"/>
            </a:ln>
          </spPr>
          <invertIfNegative val="0"/>
          <cat>
            <numRef>
              <f>'q_doc_gap'!$A$2:$A$3</f>
            </numRef>
          </cat>
          <val>
            <numRef>
              <f>'q_doc_gap'!$B$2:$B$3</f>
            </numRef>
          </val>
        </ser>
        <ser>
          <idx val="1"/>
          <order val="1"/>
          <tx>
            <strRef>
              <f>'q_doc_gap'!C1</f>
            </strRef>
          </tx>
          <spPr>
            <a:solidFill xmlns:a="http://schemas.openxmlformats.org/drawingml/2006/main">
              <a:srgbClr val="F59E0B"/>
            </a:solidFill>
            <a:ln xmlns:a="http://schemas.openxmlformats.org/drawingml/2006/main">
              <a:noFill/>
              <a:prstDash val="solid"/>
            </a:ln>
          </spPr>
          <invertIfNegative val="0"/>
          <cat>
            <numRef>
              <f>'q_doc_gap'!$A$2:$A$3</f>
            </numRef>
          </cat>
          <val>
            <numRef>
              <f>'q_doc_gap'!$C$2:$C$3</f>
            </numRef>
          </val>
        </ser>
        <ser>
          <idx val="2"/>
          <order val="2"/>
          <tx>
            <strRef>
              <f>'q_doc_gap'!D1</f>
            </strRef>
          </tx>
          <spPr>
            <a:solidFill xmlns:a="http://schemas.openxmlformats.org/drawingml/2006/main">
              <a:srgbClr val="3B82F6"/>
            </a:solidFill>
            <a:ln xmlns:a="http://schemas.openxmlformats.org/drawingml/2006/main">
              <a:noFill/>
              <a:prstDash val="solid"/>
            </a:ln>
          </spPr>
          <invertIfNegative val="0"/>
          <cat>
            <numRef>
              <f>'q_doc_gap'!$A$2:$A$3</f>
            </numRef>
          </cat>
          <val>
            <numRef>
              <f>'q_doc_gap'!$D$2:$D$3</f>
            </numRef>
          </val>
        </ser>
        <gapWidth val="60"/>
        <axId val="10"/>
        <axId val="100"/>
      </barChart>
      <catAx>
        <axId val="10"/>
        <scaling>
          <orientation val="minMax"/>
        </scaling>
        <axPos val="l"/>
        <majorTickMark val="none"/>
        <minorTickMark val="none"/>
        <crossAx val="100"/>
        <crosses val="autoZero"/>
        <lblOffset val="100"/>
      </catAx>
      <valAx>
        <axId val="100"/>
        <scaling>
          <orientation val="minMax"/>
          <min val="0"/>
        </scaling>
        <axPos val="l"/>
        <majorGridlines/>
        <majorTickMark val="none"/>
        <minorTickMark val="none"/>
        <crossAx val="10"/>
        <crosses val="autoZero"/>
      </valAx>
    </plotArea>
    <legend>
      <legendPos val="b"/>
      <overlay val="0"/>
    </legend>
    <plotVisOnly val="1"/>
    <dispBlanksAs val="gap"/>
  </chart>
</chartSpace>
</file>

<file path=xl/charts/chart7.xml><?xml version="1.0" encoding="utf-8"?>
<chartSpace xmlns="http://schemas.openxmlformats.org/drawingml/2006/chart">
  <style val="2"/>
  <chart>
    <title>
      <tx>
        <rich>
          <a:bodyPr xmlns:a="http://schemas.openxmlformats.org/drawingml/2006/main"/>
          <a:p xmlns:a="http://schemas.openxmlformats.org/drawingml/2006/main">
            <a:pPr>
              <a:defRPr/>
            </a:pPr>
            <a:r>
              <a:t>What rework costs</a:t>
            </a:r>
          </a:p>
        </rich>
      </tx>
    </title>
    <plotArea>
      <barChart>
        <barDir val="col"/>
        <grouping val="clustered"/>
        <ser>
          <idx val="0"/>
          <order val="0"/>
          <tx>
            <strRef>
              <f>'q_rework'!B1</f>
            </strRef>
          </tx>
          <spPr>
            <a:solidFill xmlns:a="http://schemas.openxmlformats.org/drawingml/2006/main">
              <a:srgbClr val="EF4444"/>
            </a:solidFill>
            <a:ln xmlns:a="http://schemas.openxmlformats.org/drawingml/2006/main">
              <a:noFill/>
              <a:prstDash val="solid"/>
            </a:ln>
          </spPr>
          <invertIfNegative val="0"/>
          <cat>
            <numRef>
              <f>'q_rework'!$A$2:$A$3</f>
            </numRef>
          </cat>
          <val>
            <numRef>
              <f>'q_rework'!$B$2:$B$3</f>
            </numRef>
          </val>
        </ser>
        <ser>
          <idx val="1"/>
          <order val="1"/>
          <tx>
            <strRef>
              <f>'q_rework'!C1</f>
            </strRef>
          </tx>
          <spPr>
            <a:solidFill xmlns:a="http://schemas.openxmlformats.org/drawingml/2006/main">
              <a:srgbClr val="22C55E"/>
            </a:solidFill>
            <a:ln xmlns:a="http://schemas.openxmlformats.org/drawingml/2006/main">
              <a:noFill/>
              <a:prstDash val="solid"/>
            </a:ln>
          </spPr>
          <invertIfNegative val="0"/>
          <cat>
            <numRef>
              <f>'q_rework'!$A$2:$A$3</f>
            </numRef>
          </cat>
          <val>
            <numRef>
              <f>'q_rework'!$C$2:$C$3</f>
            </numRef>
          </val>
        </ser>
        <gapWidth val="60"/>
        <axId val="10"/>
        <axId val="100"/>
      </barChart>
      <catAx>
        <axId val="10"/>
        <scaling>
          <orientation val="minMax"/>
        </scaling>
        <axPos val="l"/>
        <majorTickMark val="none"/>
        <minorTickMark val="none"/>
        <crossAx val="100"/>
        <crosses val="autoZero"/>
        <lblOffset val="100"/>
      </catAx>
      <valAx>
        <axId val="100"/>
        <scaling>
          <orientation val="minMax"/>
          <min val="0"/>
        </scaling>
        <axPos val="l"/>
        <majorGridlines/>
        <majorTickMark val="none"/>
        <minorTickMark val="none"/>
        <crossAx val="10"/>
        <crosses val="autoZero"/>
      </valAx>
    </plotArea>
    <legend>
      <legendPos val="b"/>
      <overlay val="0"/>
    </legend>
    <plotVisOnly val="1"/>
    <dispBlanksAs val="gap"/>
  </chart>
</chartSpace>
</file>

<file path=xl/charts/chart8.xml><?xml version="1.0" encoding="utf-8"?>
<chartSpace xmlns="http://schemas.openxmlformats.org/drawingml/2006/chart">
  <style val="2"/>
  <chart>
    <title>
      <tx>
        <rich>
          <a:bodyPr xmlns:a="http://schemas.openxmlformats.org/drawingml/2006/main"/>
          <a:p xmlns:a="http://schemas.openxmlformats.org/drawingml/2006/main">
            <a:pPr>
              <a:defRPr/>
            </a:pPr>
            <a:r>
              <a:t>Monthly trend</a:t>
            </a:r>
          </a:p>
        </rich>
      </tx>
    </title>
    <plotArea>
      <lineChart>
        <grouping val="standard"/>
        <ser>
          <idx val="0"/>
          <order val="0"/>
          <tx>
            <strRef>
              <f>'q_monthly'!B1</f>
            </strRef>
          </tx>
          <spPr>
            <a:ln xmlns:a="http://schemas.openxmlformats.org/drawingml/2006/main" w="26000">
              <a:solidFill>
                <a:srgbClr val="22C55E"/>
              </a:solidFill>
              <a:prstDash val="solid"/>
            </a:ln>
          </spPr>
          <marker>
            <symbol val="none"/>
            <spPr>
              <a:ln xmlns:a="http://schemas.openxmlformats.org/drawingml/2006/main">
                <a:prstDash val="solid"/>
              </a:ln>
            </spPr>
          </marker>
          <cat>
            <numRef>
              <f>'q_monthly'!$A$2:$A$10</f>
            </numRef>
          </cat>
          <val>
            <numRef>
              <f>'q_monthly'!$B$2:$B$10</f>
            </numRef>
          </val>
          <smooth val="0"/>
        </ser>
        <ser>
          <idx val="1"/>
          <order val="1"/>
          <tx>
            <strRef>
              <f>'q_monthly'!C1</f>
            </strRef>
          </tx>
          <spPr>
            <a:ln xmlns:a="http://schemas.openxmlformats.org/drawingml/2006/main" w="26000">
              <a:solidFill>
                <a:srgbClr val="EF4444"/>
              </a:solidFill>
              <a:prstDash val="solid"/>
            </a:ln>
          </spPr>
          <marker>
            <symbol val="none"/>
            <spPr>
              <a:ln xmlns:a="http://schemas.openxmlformats.org/drawingml/2006/main">
                <a:prstDash val="solid"/>
              </a:ln>
            </spPr>
          </marker>
          <cat>
            <numRef>
              <f>'q_monthly'!$A$2:$A$10</f>
            </numRef>
          </cat>
          <val>
            <numRef>
              <f>'q_monthly'!$C$2:$C$10</f>
            </numRef>
          </val>
          <smooth val="0"/>
        </ser>
        <axId val="10"/>
        <axId val="100"/>
      </lineChart>
      <barChart>
        <barDir val="col"/>
        <grouping val="clustered"/>
        <ser>
          <idx val="2"/>
          <order val="2"/>
          <tx>
            <strRef>
              <f>'q_monthly'!D1</f>
            </strRef>
          </tx>
          <spPr>
            <a:solidFill xmlns:a="http://schemas.openxmlformats.org/drawingml/2006/main">
              <a:srgbClr val="94A3B8"/>
            </a:solidFill>
            <a:ln xmlns:a="http://schemas.openxmlformats.org/drawingml/2006/main">
              <a:noFill/>
              <a:prstDash val="solid"/>
            </a:ln>
          </spPr>
          <invertIfNegative val="0"/>
          <cat>
            <numRef>
              <f>'q_monthly'!$A$2:$A$10</f>
            </numRef>
          </cat>
          <val>
            <numRef>
              <f>'q_monthly'!$D$2:$D$10</f>
            </numRef>
          </val>
        </ser>
        <gapWidth val="60"/>
        <axId val="10"/>
        <axId val="200"/>
      </barChart>
      <catAx>
        <axId val="10"/>
        <scaling>
          <orientation val="minMax"/>
        </scaling>
        <axPos val="l"/>
        <majorTickMark val="none"/>
        <minorTickMark val="none"/>
        <crossAx val="100"/>
        <crosses val="autoZero"/>
        <lblOffset val="100"/>
      </catAx>
      <valAx>
        <axId val="100"/>
        <scaling>
          <orientation val="minMax"/>
        </scaling>
        <axPos val="l"/>
        <majorGridlines/>
        <title>
          <tx>
            <rich>
              <a:bodyPr xmlns:a="http://schemas.openxmlformats.org/drawingml/2006/main"/>
              <a:p xmlns:a="http://schemas.openxmlformats.org/drawingml/2006/main">
                <a:pPr>
                  <a:defRPr/>
                </a:pPr>
                <a:r>
                  <a:t>Percent / days</a:t>
                </a:r>
              </a:p>
            </rich>
          </tx>
        </title>
        <majorTickMark val="none"/>
        <minorTickMark val="none"/>
        <crossAx val="10"/>
        <crosses val="autoZero"/>
      </valAx>
      <valAx>
        <axId val="200"/>
        <scaling>
          <orientation val="minMax"/>
          <min val="0"/>
        </scaling>
        <axPos val="l"/>
        <title>
          <tx>
            <rich>
              <a:bodyPr xmlns:a="http://schemas.openxmlformats.org/drawingml/2006/main"/>
              <a:p xmlns:a="http://schemas.openxmlformats.org/drawingml/2006/main">
                <a:pPr>
                  <a:defRPr/>
                </a:pPr>
                <a:r>
                  <a:t>Appeals received</a:t>
                </a:r>
              </a:p>
            </rich>
          </tx>
        </title>
        <majorTickMark val="none"/>
        <minorTickMark val="none"/>
        <crossAx val="10"/>
        <crosses val="max"/>
      </valAx>
    </plotArea>
    <legend>
      <legendPos val="b"/>
      <overlay val="0"/>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s>
</file>

<file path=xl/drawings/drawing1.xml><?xml version="1.0" encoding="utf-8"?>
<wsDr xmlns="http://schemas.openxmlformats.org/drawingml/2006/spreadsheetDrawing">
  <oneCellAnchor>
    <from>
      <col>1</col>
      <colOff>0</colOff>
      <row>17</row>
      <rowOff>0</rowOff>
    </from>
    <ext cx="8640000" cy="338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col>
      <colOff>0</colOff>
      <row>38</row>
      <rowOff>0</rowOff>
    </from>
    <ext cx="8640000" cy="3384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0</colOff>
      <row>59</row>
      <rowOff>0</rowOff>
    </from>
    <ext cx="8640000" cy="3384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col>
      <colOff>0</colOff>
      <row>80</row>
      <rowOff>0</rowOff>
    </from>
    <ext cx="8640000" cy="3384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1</col>
      <colOff>0</colOff>
      <row>101</row>
      <rowOff>0</rowOff>
    </from>
    <ext cx="8640000" cy="3384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1</col>
      <colOff>0</colOff>
      <row>122</row>
      <rowOff>0</rowOff>
    </from>
    <ext cx="8640000" cy="3384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1</col>
      <colOff>0</colOff>
      <row>143</row>
      <rowOff>0</rowOff>
    </from>
    <ext cx="8640000" cy="3384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1</col>
      <colOff>0</colOff>
      <row>164</row>
      <rowOff>0</rowOff>
    </from>
    <ext cx="8640000" cy="3384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3B82F6"/>
    <outlinePr summaryBelow="1" summaryRight="1"/>
    <pageSetUpPr fitToPage="1"/>
  </sheetPr>
  <dimension ref="A1:X201"/>
  <sheetViews>
    <sheetView showGridLines="0" workbookViewId="0">
      <selection activeCell="A1" sqref="A1"/>
    </sheetView>
  </sheetViews>
  <sheetFormatPr baseColWidth="8" defaultRowHeight="15"/>
  <cols>
    <col width="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s>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row>
    <row r="2" ht="30" customHeight="1">
      <c r="A2" s="1" t="n"/>
      <c r="B2" s="2" t="inlineStr">
        <is>
          <t>Appeals Friction Radar</t>
        </is>
      </c>
      <c r="C2" s="1" t="n"/>
      <c r="D2" s="1" t="n"/>
      <c r="E2" s="1" t="n"/>
      <c r="F2" s="1" t="n"/>
      <c r="G2" s="1" t="n"/>
      <c r="H2" s="1" t="n"/>
      <c r="I2" s="1" t="n"/>
      <c r="J2" s="1" t="n"/>
      <c r="K2" s="1" t="n"/>
      <c r="L2" s="1" t="n"/>
      <c r="M2" s="1" t="n"/>
      <c r="N2" s="1" t="n"/>
      <c r="O2" s="1" t="n"/>
      <c r="P2" s="1" t="n"/>
      <c r="Q2" s="1" t="n"/>
      <c r="R2" s="1" t="n"/>
      <c r="S2" s="1" t="n"/>
      <c r="T2" s="1" t="n"/>
      <c r="U2" s="1" t="n"/>
      <c r="V2" s="1" t="n"/>
      <c r="W2" s="1" t="n"/>
      <c r="X2" s="1" t="n"/>
    </row>
    <row r="3" ht="14" customHeight="1">
      <c r="A3" s="1" t="n"/>
      <c r="B3" s="3" t="inlineStr">
        <is>
          <t>Pathway Appeals Services (fictional) · 3,966 appeals · 1 January to 30 September 2026. Turnaround averages 14.9 days and only 49.6% of appeals meet SLA. Urgent appeals carry a 7-day target and take 15.5 days — slower than the Standard queue they are supposed to jump.</t>
        </is>
      </c>
      <c r="C3" s="1" t="n"/>
      <c r="D3" s="1" t="n"/>
      <c r="E3" s="1" t="n"/>
      <c r="F3" s="1" t="n"/>
      <c r="G3" s="1" t="n"/>
      <c r="H3" s="1" t="n"/>
      <c r="I3" s="1" t="n"/>
      <c r="J3" s="1" t="n"/>
      <c r="K3" s="1" t="n"/>
      <c r="L3" s="1" t="n"/>
      <c r="M3" s="1" t="n"/>
      <c r="N3" s="1" t="n"/>
      <c r="O3" s="1" t="n"/>
      <c r="P3" s="1" t="n"/>
      <c r="Q3" s="1" t="n"/>
      <c r="R3" s="1" t="n"/>
      <c r="S3" s="1" t="n"/>
      <c r="T3" s="1" t="n"/>
      <c r="U3" s="1" t="n"/>
      <c r="V3" s="1" t="n"/>
      <c r="W3" s="1" t="n"/>
      <c r="X3" s="1" t="n"/>
    </row>
    <row r="4" ht="14" customHeight="1">
      <c r="A4" s="1" t="n"/>
      <c r="B4" s="1" t="n"/>
      <c r="C4" s="1" t="n"/>
      <c r="D4" s="1" t="n"/>
      <c r="E4" s="1" t="n"/>
      <c r="F4" s="1" t="n"/>
      <c r="G4" s="1" t="n"/>
      <c r="H4" s="1" t="n"/>
      <c r="I4" s="1" t="n"/>
      <c r="J4" s="1" t="n"/>
      <c r="K4" s="1" t="n"/>
      <c r="L4" s="1" t="n"/>
      <c r="M4" s="1" t="n"/>
      <c r="N4" s="1" t="n"/>
      <c r="O4" s="1" t="n"/>
      <c r="P4" s="1" t="n"/>
      <c r="Q4" s="1" t="n"/>
      <c r="R4" s="1" t="n"/>
      <c r="S4" s="1" t="n"/>
      <c r="T4" s="1" t="n"/>
      <c r="U4" s="1" t="n"/>
      <c r="V4" s="1" t="n"/>
      <c r="W4" s="1" t="n"/>
      <c r="X4" s="1" t="n"/>
    </row>
    <row r="5" ht="14" customHeight="1">
      <c r="A5" s="1" t="n"/>
      <c r="B5" s="1" t="n"/>
      <c r="C5" s="1" t="n"/>
      <c r="D5" s="1" t="n"/>
      <c r="E5" s="1" t="n"/>
      <c r="F5" s="1" t="n"/>
      <c r="G5" s="1" t="n"/>
      <c r="H5" s="1" t="n"/>
      <c r="I5" s="1" t="n"/>
      <c r="J5" s="1" t="n"/>
      <c r="K5" s="1" t="n"/>
      <c r="L5" s="1" t="n"/>
      <c r="M5" s="1" t="n"/>
      <c r="N5" s="1" t="n"/>
      <c r="O5" s="1" t="n"/>
      <c r="P5" s="1" t="n"/>
      <c r="Q5" s="1" t="n"/>
      <c r="R5" s="1" t="n"/>
      <c r="S5" s="1" t="n"/>
      <c r="T5" s="1" t="n"/>
      <c r="U5" s="1" t="n"/>
      <c r="V5" s="1" t="n"/>
      <c r="W5" s="1" t="n"/>
      <c r="X5" s="1" t="n"/>
    </row>
    <row r="6">
      <c r="A6" s="1" t="n"/>
      <c r="B6" s="1" t="n"/>
      <c r="C6" s="1" t="n"/>
      <c r="D6" s="1" t="n"/>
      <c r="E6" s="1" t="n"/>
      <c r="F6" s="1" t="n"/>
      <c r="G6" s="1" t="n"/>
      <c r="H6" s="1" t="n"/>
      <c r="I6" s="1" t="n"/>
      <c r="J6" s="1" t="n"/>
      <c r="K6" s="1" t="n"/>
      <c r="L6" s="1" t="n"/>
      <c r="M6" s="1" t="n"/>
      <c r="N6" s="1" t="n"/>
      <c r="O6" s="1" t="n"/>
      <c r="P6" s="1" t="n"/>
      <c r="Q6" s="1" t="n"/>
      <c r="R6" s="1" t="n"/>
      <c r="S6" s="1" t="n"/>
      <c r="T6" s="1" t="n"/>
      <c r="U6" s="1" t="n"/>
      <c r="V6" s="1" t="n"/>
      <c r="W6" s="1" t="n"/>
      <c r="X6" s="1" t="n"/>
    </row>
    <row r="7" ht="12" customHeight="1">
      <c r="A7" s="1" t="n"/>
      <c r="B7" s="4" t="inlineStr">
        <is>
          <t>APPEALS CLOSED</t>
        </is>
      </c>
      <c r="C7" s="5" t="n"/>
      <c r="D7" s="5" t="n"/>
      <c r="E7" s="5" t="n"/>
      <c r="F7" s="5" t="n"/>
      <c r="G7" s="4" t="inlineStr">
        <is>
          <t>SLA COMPLIANCE</t>
        </is>
      </c>
      <c r="H7" s="5" t="n"/>
      <c r="I7" s="5" t="n"/>
      <c r="J7" s="5" t="n"/>
      <c r="K7" s="5" t="n"/>
      <c r="L7" s="4" t="inlineStr">
        <is>
          <t>AVG TURNAROUND</t>
        </is>
      </c>
      <c r="M7" s="5" t="n"/>
      <c r="N7" s="5" t="n"/>
      <c r="O7" s="5" t="n"/>
      <c r="P7" s="5" t="n"/>
      <c r="Q7" s="4" t="inlineStr">
        <is>
          <t>FIRST-PASS ROUTING</t>
        </is>
      </c>
      <c r="R7" s="5" t="n"/>
      <c r="S7" s="5" t="n"/>
      <c r="T7" s="5" t="n"/>
      <c r="U7" s="5" t="n"/>
      <c r="V7" s="1" t="n"/>
      <c r="W7" s="1" t="n"/>
      <c r="X7" s="1" t="n"/>
    </row>
    <row r="8" ht="22" customHeight="1">
      <c r="A8" s="1" t="n"/>
      <c r="B8" s="6" t="inlineStr">
        <is>
          <t>3,966</t>
        </is>
      </c>
      <c r="C8" s="5" t="n"/>
      <c r="D8" s="5" t="n"/>
      <c r="E8" s="5" t="n"/>
      <c r="F8" s="5" t="n"/>
      <c r="G8" s="7" t="inlineStr">
        <is>
          <t>49.62%</t>
        </is>
      </c>
      <c r="H8" s="5" t="n"/>
      <c r="I8" s="5" t="n"/>
      <c r="J8" s="5" t="n"/>
      <c r="K8" s="5" t="n"/>
      <c r="L8" s="6" t="inlineStr">
        <is>
          <t>14.9d</t>
        </is>
      </c>
      <c r="M8" s="5" t="n"/>
      <c r="N8" s="5" t="n"/>
      <c r="O8" s="5" t="n"/>
      <c r="P8" s="5" t="n"/>
      <c r="Q8" s="8" t="inlineStr">
        <is>
          <t>87.54%</t>
        </is>
      </c>
      <c r="R8" s="5" t="n"/>
      <c r="S8" s="5" t="n"/>
      <c r="T8" s="5" t="n"/>
      <c r="U8" s="5" t="n"/>
      <c r="V8" s="1" t="n"/>
      <c r="W8" s="1" t="n"/>
      <c r="X8" s="1" t="n"/>
    </row>
    <row r="9" ht="12" customHeight="1">
      <c r="A9" s="1" t="n"/>
      <c r="B9" s="9" t="inlineStr"/>
      <c r="C9" s="5" t="n"/>
      <c r="D9" s="5" t="n"/>
      <c r="E9" s="5" t="n"/>
      <c r="F9" s="5" t="n"/>
      <c r="G9" s="9" t="inlineStr">
        <is>
          <t>30-day target</t>
        </is>
      </c>
      <c r="H9" s="5" t="n"/>
      <c r="I9" s="5" t="n"/>
      <c r="J9" s="5" t="n"/>
      <c r="K9" s="5" t="n"/>
      <c r="L9" s="9" t="inlineStr">
        <is>
          <t>The average is not the problem</t>
        </is>
      </c>
      <c r="M9" s="5" t="n"/>
      <c r="N9" s="5" t="n"/>
      <c r="O9" s="5" t="n"/>
      <c r="P9" s="5" t="n"/>
      <c r="Q9" s="9" t="inlineStr"/>
      <c r="R9" s="5" t="n"/>
      <c r="S9" s="5" t="n"/>
      <c r="T9" s="5" t="n"/>
      <c r="U9" s="5" t="n"/>
      <c r="V9" s="1" t="n"/>
      <c r="W9" s="1" t="n"/>
      <c r="X9" s="1" t="n"/>
    </row>
    <row r="10" ht="12" customHeight="1">
      <c r="A10" s="1" t="n"/>
      <c r="B10" s="5" t="n"/>
      <c r="C10" s="5" t="n"/>
      <c r="D10" s="5" t="n"/>
      <c r="E10" s="5" t="n"/>
      <c r="F10" s="5" t="n"/>
      <c r="G10" s="5" t="n"/>
      <c r="H10" s="5" t="n"/>
      <c r="I10" s="5" t="n"/>
      <c r="J10" s="5" t="n"/>
      <c r="K10" s="5" t="n"/>
      <c r="L10" s="5" t="n"/>
      <c r="M10" s="5" t="n"/>
      <c r="N10" s="5" t="n"/>
      <c r="O10" s="5" t="n"/>
      <c r="P10" s="5" t="n"/>
      <c r="Q10" s="5" t="n"/>
      <c r="R10" s="5" t="n"/>
      <c r="S10" s="5" t="n"/>
      <c r="T10" s="5" t="n"/>
      <c r="U10" s="5" t="n"/>
      <c r="V10" s="1" t="n"/>
      <c r="W10" s="1" t="n"/>
      <c r="X10" s="1" t="n"/>
    </row>
    <row r="11">
      <c r="A11" s="1" t="n"/>
      <c r="B11" s="1" t="n"/>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row>
    <row r="12" ht="12" customHeight="1">
      <c r="A12" s="1" t="n"/>
      <c r="B12" s="4" t="inlineStr">
        <is>
          <t>REWORK RATE</t>
        </is>
      </c>
      <c r="C12" s="5" t="n"/>
      <c r="D12" s="5" t="n"/>
      <c r="E12" s="5" t="n"/>
      <c r="F12" s="5" t="n"/>
      <c r="G12" s="4" t="inlineStr">
        <is>
          <t>ESCALATION RATE</t>
        </is>
      </c>
      <c r="H12" s="5" t="n"/>
      <c r="I12" s="5" t="n"/>
      <c r="J12" s="5" t="n"/>
      <c r="K12" s="5" t="n"/>
      <c r="L12" s="4" t="inlineStr">
        <is>
          <t>INCOMPLETE AT INTAKE</t>
        </is>
      </c>
      <c r="M12" s="5" t="n"/>
      <c r="N12" s="5" t="n"/>
      <c r="O12" s="5" t="n"/>
      <c r="P12" s="5" t="n"/>
      <c r="Q12" s="4" t="inlineStr">
        <is>
          <t>DATA QUALITY SCORE</t>
        </is>
      </c>
      <c r="R12" s="5" t="n"/>
      <c r="S12" s="5" t="n"/>
      <c r="T12" s="5" t="n"/>
      <c r="U12" s="5" t="n"/>
      <c r="V12" s="1" t="n"/>
      <c r="W12" s="1" t="n"/>
      <c r="X12" s="1" t="n"/>
    </row>
    <row r="13" ht="22" customHeight="1">
      <c r="A13" s="1" t="n"/>
      <c r="B13" s="8" t="inlineStr">
        <is>
          <t>13.51%</t>
        </is>
      </c>
      <c r="C13" s="5" t="n"/>
      <c r="D13" s="5" t="n"/>
      <c r="E13" s="5" t="n"/>
      <c r="F13" s="5" t="n"/>
      <c r="G13" s="6" t="inlineStr">
        <is>
          <t>10.44%</t>
        </is>
      </c>
      <c r="H13" s="5" t="n"/>
      <c r="I13" s="5" t="n"/>
      <c r="J13" s="5" t="n"/>
      <c r="K13" s="5" t="n"/>
      <c r="L13" s="7" t="inlineStr">
        <is>
          <t>24.10%</t>
        </is>
      </c>
      <c r="M13" s="5" t="n"/>
      <c r="N13" s="5" t="n"/>
      <c r="O13" s="5" t="n"/>
      <c r="P13" s="5" t="n"/>
      <c r="Q13" s="10" t="inlineStr">
        <is>
          <t>98.71%</t>
        </is>
      </c>
      <c r="R13" s="5" t="n"/>
      <c r="S13" s="5" t="n"/>
      <c r="T13" s="5" t="n"/>
      <c r="U13" s="5" t="n"/>
      <c r="V13" s="1" t="n"/>
      <c r="W13" s="1" t="n"/>
      <c r="X13" s="1" t="n"/>
    </row>
    <row r="14" ht="12" customHeight="1">
      <c r="A14" s="1" t="n"/>
      <c r="B14" s="9" t="inlineStr"/>
      <c r="C14" s="5" t="n"/>
      <c r="D14" s="5" t="n"/>
      <c r="E14" s="5" t="n"/>
      <c r="F14" s="5" t="n"/>
      <c r="G14" s="9" t="inlineStr"/>
      <c r="H14" s="5" t="n"/>
      <c r="I14" s="5" t="n"/>
      <c r="J14" s="5" t="n"/>
      <c r="K14" s="5" t="n"/>
      <c r="L14" s="9" t="inlineStr">
        <is>
          <t>Drives the pending-info clock</t>
        </is>
      </c>
      <c r="M14" s="5" t="n"/>
      <c r="N14" s="5" t="n"/>
      <c r="O14" s="5" t="n"/>
      <c r="P14" s="5" t="n"/>
      <c r="Q14" s="9" t="inlineStr">
        <is>
          <t>52 of 4,018 records excluded</t>
        </is>
      </c>
      <c r="R14" s="5" t="n"/>
      <c r="S14" s="5" t="n"/>
      <c r="T14" s="5" t="n"/>
      <c r="U14" s="5" t="n"/>
      <c r="V14" s="1" t="n"/>
      <c r="W14" s="1" t="n"/>
      <c r="X14" s="1" t="n"/>
    </row>
    <row r="15" ht="12" customHeight="1">
      <c r="A15" s="1" t="n"/>
      <c r="B15" s="5" t="n"/>
      <c r="C15" s="5" t="n"/>
      <c r="D15" s="5" t="n"/>
      <c r="E15" s="5" t="n"/>
      <c r="F15" s="5" t="n"/>
      <c r="G15" s="5" t="n"/>
      <c r="H15" s="5" t="n"/>
      <c r="I15" s="5" t="n"/>
      <c r="J15" s="5" t="n"/>
      <c r="K15" s="5" t="n"/>
      <c r="L15" s="5" t="n"/>
      <c r="M15" s="5" t="n"/>
      <c r="N15" s="5" t="n"/>
      <c r="O15" s="5" t="n"/>
      <c r="P15" s="5" t="n"/>
      <c r="Q15" s="5" t="n"/>
      <c r="R15" s="5" t="n"/>
      <c r="S15" s="5" t="n"/>
      <c r="T15" s="5" t="n"/>
      <c r="U15" s="5" t="n"/>
      <c r="V15" s="1" t="n"/>
      <c r="W15" s="1" t="n"/>
      <c r="X15" s="1" t="n"/>
    </row>
    <row r="16">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row>
    <row r="17">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row>
    <row r="18">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row>
    <row r="19">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row>
    <row r="20">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row>
    <row r="21">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row>
    <row r="22">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row>
    <row r="23">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row>
    <row r="24">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row>
    <row r="25">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row>
    <row r="26">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row>
    <row r="27">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row>
    <row r="28">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row>
    <row r="29">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row>
    <row r="30">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row>
    <row r="31">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row>
    <row r="32">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row>
    <row r="33">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row>
    <row r="34">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row>
    <row r="35">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row>
    <row r="36">
      <c r="A36" s="1" t="n"/>
      <c r="B36" s="11" t="inlineStr">
        <is>
          <t>Average days in each process stage. The single largest block is the queue between routing and the first clinical touch — time when nothing is happening and no team owns the appeal.</t>
        </is>
      </c>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row>
    <row r="37">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row>
    <row r="38">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row>
    <row r="39">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row>
    <row r="40">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row>
    <row r="4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row>
    <row r="42">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row>
    <row r="43">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row>
    <row r="44">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row>
    <row r="45">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row>
    <row r="46">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row>
    <row r="47">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row>
    <row r="48">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row>
    <row r="49">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row>
    <row r="50">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row>
    <row r="5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row>
    <row r="52">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row>
    <row r="53">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row>
    <row r="54">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row>
    <row r="55">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row>
    <row r="56">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row>
    <row r="57">
      <c r="A57" s="1" t="n"/>
      <c r="B57" s="11" t="inlineStr">
        <is>
          <t>The same stages as a proportion of the 14.9-day average.</t>
        </is>
      </c>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row>
    <row r="58">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row>
    <row r="5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row>
    <row r="60">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row>
    <row r="6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row>
    <row r="62">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row>
    <row r="63">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row>
    <row r="64">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row>
    <row r="65">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row>
    <row r="66">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row>
    <row r="67">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row>
    <row r="68">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row>
    <row r="6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row>
    <row r="70">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row>
    <row r="7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row>
    <row r="72">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row>
    <row r="73">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row>
    <row r="74">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row>
    <row r="75">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row>
    <row r="76">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row>
    <row r="77">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row>
    <row r="78">
      <c r="A78" s="1" t="n"/>
      <c r="B78" s="11" t="inlineStr">
        <is>
          <t>Each type carries its own SLA target. Average turnaround inside the target still produces a failing compliance rate, because compliance is decided by the tail rather than the mean.</t>
        </is>
      </c>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row>
    <row r="7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row>
    <row r="80">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row>
    <row r="8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row>
    <row r="82">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row>
    <row r="83">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row>
    <row r="84">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row>
    <row r="85">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row>
    <row r="86">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row>
    <row r="87">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row>
    <row r="88">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row>
    <row r="8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row>
    <row r="90">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row>
    <row r="9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row>
    <row r="92">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row>
    <row r="93">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row>
    <row r="94">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row>
    <row r="95">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row>
    <row r="96">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row>
    <row r="97">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row>
    <row r="98">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row>
    <row r="99">
      <c r="A99" s="1" t="n"/>
      <c r="B99" s="11" t="inlineStr">
        <is>
          <t>Sorted worst first.</t>
        </is>
      </c>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row>
    <row r="100">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row>
    <row r="10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row>
    <row r="102">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row>
    <row r="103">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row>
    <row r="104">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row>
    <row r="105">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row>
    <row r="106">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row>
    <row r="107">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row>
    <row r="108">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row>
    <row r="10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row>
    <row r="110">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row>
    <row r="11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row>
    <row r="112">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row>
    <row r="113">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row>
    <row r="11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row>
    <row r="115">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row>
    <row r="116">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row>
    <row r="117">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row>
    <row r="118">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row>
    <row r="11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row>
    <row r="120">
      <c r="A120" s="1" t="n"/>
      <c r="B120" s="11" t="inlineStr">
        <is>
          <t>Turnaround rises and compliance falls monotonically across the four bands. That is the strongest claim available for weights set by judgement rather than fitted to outcomes.</t>
        </is>
      </c>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row>
    <row r="12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row>
    <row r="122">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row>
    <row r="123">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row>
    <row r="12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row>
    <row r="125">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row>
    <row r="126">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row>
    <row r="127">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row>
    <row r="128">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row>
    <row r="12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row>
    <row r="130">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row>
    <row r="13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row>
    <row r="132">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row>
    <row r="133">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row>
    <row r="13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row>
    <row r="135">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row>
    <row r="136">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row>
    <row r="137">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row>
    <row r="138">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row>
    <row r="13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row>
    <row r="140">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row>
    <row r="141">
      <c r="A141" s="1" t="n"/>
      <c r="B141" s="11" t="inlineStr">
        <is>
          <t>Appeals arriving without complete documentation spend materially longer in pending-info status, and that wait lands inside the SLA clock rather than outside it.</t>
        </is>
      </c>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row>
    <row r="142">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row>
    <row r="143">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row>
    <row r="14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row>
    <row r="145">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row>
    <row r="146">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row>
    <row r="147">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row>
    <row r="148">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row>
    <row r="14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row>
    <row r="150">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row>
    <row r="15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row>
    <row r="152">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row>
    <row r="153">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row>
    <row r="15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row>
    <row r="155">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row>
    <row r="156">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row>
    <row r="157">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row>
    <row r="158">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row>
    <row r="15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row>
    <row r="160">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row>
    <row r="16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row>
    <row r="162">
      <c r="A162" s="1" t="n"/>
      <c r="B162" s="11" t="inlineStr">
        <is>
          <t>A reworked appeal takes substantially longer and is far less likely to meet SLA. Rework is measured by flag, not by reason code, so it cannot be split into avoidable and unavoidable here.</t>
        </is>
      </c>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row>
    <row r="163">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row>
    <row r="16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row>
    <row r="165">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row>
    <row r="166">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row>
    <row r="167">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row>
    <row r="168">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row>
    <row r="16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row>
    <row r="170">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row>
    <row r="17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row>
    <row r="172">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row>
    <row r="173">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row>
    <row r="17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row>
    <row r="175">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row>
    <row r="176">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row>
    <row r="177">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row>
    <row r="178">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row>
    <row r="17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row>
    <row r="180">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row>
    <row r="18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row>
    <row r="182">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row>
    <row r="183">
      <c r="A183" s="1" t="n"/>
      <c r="B183" s="11" t="inlineStr">
        <is>
          <t>Volume received against turnaround and compliance. Bars are appeals received on the right axis.</t>
        </is>
      </c>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row>
    <row r="18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row>
    <row r="185">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row>
    <row r="186" ht="16" customHeight="1">
      <c r="A186" s="1" t="n"/>
      <c r="B186" s="12" t="inlineStr">
        <is>
          <t>How this workbook is built</t>
        </is>
      </c>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row>
    <row r="187" ht="14" customHeight="1">
      <c r="A187" s="1" t="n"/>
      <c r="B187" s="13" t="inlineStr">
        <is>
          <t>Every figure here is produced by a SQL query stored in dashboard/dashboard_config.json and run against data/appeals.db by src/build_bi_assets.py. The q_* sheets are the raw query output; the charts on this sheet read those sheets directly, so the workbook cannot drift away from the analysis in sql/. Rebuild with: python src/load_sqlite.py &amp;&amp; python src/build_bi_assets.py</t>
        </is>
      </c>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row>
    <row r="188" ht="14" customHeight="1">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row>
    <row r="189" ht="14" customHeight="1">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row>
    <row r="190">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row>
    <row r="191" ht="16" customHeight="1">
      <c r="A191" s="1" t="n"/>
      <c r="B191" s="12" t="inlineStr">
        <is>
          <t>Limitations</t>
        </is>
      </c>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row>
    <row r="192" ht="14" customHeight="1">
      <c r="A192" s="1" t="n"/>
      <c r="B192" s="13" t="inlineStr">
        <is>
          <t>Stage durations are derived from event timestamps, so an appeal that was worked without a logged event shows as waiting. Friction Score weights are analyst judgement and were not fitted to SLA outcomes, so the score ranks appeals but does not predict a breach probability. Calendar days are used throughout because the source has no business calendar, which inflates every stage by weekends. The data is fully synthetic — the method transfers, the conclusion does not.</t>
        </is>
      </c>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row>
    <row r="193" ht="14" customHeight="1">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row>
    <row r="194" ht="14" customHeight="1">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row>
    <row r="195" ht="14" customHeight="1">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row>
    <row r="196">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row>
    <row r="197" ht="13" customHeight="1">
      <c r="A197" s="1" t="n"/>
      <c r="B197" s="14" t="inlineStr">
        <is>
          <t>Source: synthetic data generated by src/generate_data.py. No employer data, patient information, protected health information or confidential business information is used.</t>
        </is>
      </c>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row>
    <row r="198" ht="13" customHeight="1">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row>
    <row r="199" ht="13" customHeight="1">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row>
    <row r="200">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row>
    <row r="201">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row>
  </sheetData>
  <mergeCells count="39">
    <mergeCell ref="Q7:U7"/>
    <mergeCell ref="Q9:U10"/>
    <mergeCell ref="B7:F7"/>
    <mergeCell ref="B36:V37"/>
    <mergeCell ref="B2:V2"/>
    <mergeCell ref="G12:K12"/>
    <mergeCell ref="Q12:U12"/>
    <mergeCell ref="L7:P7"/>
    <mergeCell ref="B99:V100"/>
    <mergeCell ref="B183:V184"/>
    <mergeCell ref="G14:K15"/>
    <mergeCell ref="L13:P13"/>
    <mergeCell ref="G8:K8"/>
    <mergeCell ref="B141:V142"/>
    <mergeCell ref="B192:V195"/>
    <mergeCell ref="B9:F10"/>
    <mergeCell ref="Q8:U8"/>
    <mergeCell ref="B12:F12"/>
    <mergeCell ref="L12:P12"/>
    <mergeCell ref="G7:K7"/>
    <mergeCell ref="L9:P10"/>
    <mergeCell ref="B191:V191"/>
    <mergeCell ref="B186:V186"/>
    <mergeCell ref="G13:K13"/>
    <mergeCell ref="B8:F8"/>
    <mergeCell ref="B13:F13"/>
    <mergeCell ref="L8:P8"/>
    <mergeCell ref="G9:K10"/>
    <mergeCell ref="B187:V189"/>
    <mergeCell ref="B120:V121"/>
    <mergeCell ref="Q14:U15"/>
    <mergeCell ref="B57:V58"/>
    <mergeCell ref="B197:V199"/>
    <mergeCell ref="B78:V79"/>
    <mergeCell ref="B3:V5"/>
    <mergeCell ref="L14:P15"/>
    <mergeCell ref="B14:F15"/>
    <mergeCell ref="B162:V163"/>
    <mergeCell ref="Q13:U13"/>
  </mergeCells>
  <pageMargins left="0.75" right="0.75" top="1" bottom="1" header="0.5" footer="0.5"/>
  <pageSetup orientation="landscape" fitToHeight="0"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30" customWidth="1" min="1" max="1"/>
    <col width="17" customWidth="1" min="2" max="2"/>
  </cols>
  <sheetData>
    <row r="1">
      <c r="A1" s="15" t="inlineStr">
        <is>
          <t>stage</t>
        </is>
      </c>
      <c r="B1" s="15" t="inlineStr">
        <is>
          <t>Average days in stage</t>
        </is>
      </c>
    </row>
    <row r="2">
      <c r="A2" t="inlineStr">
        <is>
          <t>Intake</t>
        </is>
      </c>
      <c r="B2" t="n">
        <v>0.9</v>
      </c>
    </row>
    <row r="3">
      <c r="A3" t="inlineStr">
        <is>
          <t>Routing</t>
        </is>
      </c>
      <c r="B3" t="n">
        <v>1.88</v>
      </c>
    </row>
    <row r="4">
      <c r="A4" t="inlineStr">
        <is>
          <t>Waiting for review</t>
        </is>
      </c>
      <c r="B4" t="n">
        <v>1.61</v>
      </c>
    </row>
    <row r="5">
      <c r="A5" t="inlineStr">
        <is>
          <t>Clinical review</t>
        </is>
      </c>
      <c r="B5" t="n">
        <v>9.08</v>
      </c>
    </row>
    <row r="6">
      <c r="A6" t="inlineStr">
        <is>
          <t>Closure</t>
        </is>
      </c>
      <c r="B6" t="n">
        <v>1.46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30" customWidth="1" min="1" max="1"/>
    <col width="17" customWidth="1" min="2" max="2"/>
  </cols>
  <sheetData>
    <row r="1">
      <c r="A1" s="15" t="inlineStr">
        <is>
          <t>stage</t>
        </is>
      </c>
      <c r="B1" s="15" t="inlineStr">
        <is>
          <t>% of turnaround</t>
        </is>
      </c>
    </row>
    <row r="2">
      <c r="A2" t="inlineStr">
        <is>
          <t>Intake</t>
        </is>
      </c>
      <c r="B2" t="n">
        <v>6</v>
      </c>
    </row>
    <row r="3">
      <c r="A3" t="inlineStr">
        <is>
          <t>Routing</t>
        </is>
      </c>
      <c r="B3" t="n">
        <v>12.6</v>
      </c>
    </row>
    <row r="4">
      <c r="A4" t="inlineStr">
        <is>
          <t>Waiting for review</t>
        </is>
      </c>
      <c r="B4" t="n">
        <v>10.8</v>
      </c>
    </row>
    <row r="5">
      <c r="A5" t="inlineStr">
        <is>
          <t>Clinical review</t>
        </is>
      </c>
      <c r="B5" t="n">
        <v>60.9</v>
      </c>
    </row>
    <row r="6">
      <c r="A6" t="inlineStr">
        <is>
          <t>Closure</t>
        </is>
      </c>
      <c r="B6" t="n">
        <v>9.800000000000001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30" customWidth="1" min="1" max="1"/>
    <col width="17" customWidth="1" min="2" max="2"/>
    <col width="17" customWidth="1" min="3" max="3"/>
  </cols>
  <sheetData>
    <row r="1">
      <c r="A1" s="15" t="inlineStr">
        <is>
          <t>Appeal_Type</t>
        </is>
      </c>
      <c r="B1" s="15" t="inlineStr">
        <is>
          <t>Avg turnaround (days)</t>
        </is>
      </c>
      <c r="C1" s="15" t="inlineStr">
        <is>
          <t>SLA target (days)</t>
        </is>
      </c>
    </row>
    <row r="2">
      <c r="A2" t="inlineStr">
        <is>
          <t>Pharmacy</t>
        </is>
      </c>
      <c r="B2" t="n">
        <v>15.2</v>
      </c>
      <c r="C2" t="n">
        <v>7</v>
      </c>
    </row>
    <row r="3">
      <c r="A3" t="inlineStr">
        <is>
          <t>Authorization</t>
        </is>
      </c>
      <c r="B3" t="n">
        <v>14.4</v>
      </c>
      <c r="C3" t="n">
        <v>7</v>
      </c>
    </row>
    <row r="4">
      <c r="A4" t="inlineStr">
        <is>
          <t>Clinical</t>
        </is>
      </c>
      <c r="B4" t="n">
        <v>15</v>
      </c>
      <c r="C4" t="n">
        <v>14</v>
      </c>
    </row>
    <row r="5">
      <c r="A5" t="inlineStr">
        <is>
          <t>Claims Payment</t>
        </is>
      </c>
      <c r="B5" t="n">
        <v>15.8</v>
      </c>
      <c r="C5" t="n">
        <v>30</v>
      </c>
    </row>
    <row r="6">
      <c r="A6" t="inlineStr">
        <is>
          <t>Administrative</t>
        </is>
      </c>
      <c r="B6" t="n">
        <v>14.9</v>
      </c>
      <c r="C6" t="n">
        <v>30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30" customWidth="1" min="1" max="1"/>
    <col width="17" customWidth="1" min="2" max="2"/>
  </cols>
  <sheetData>
    <row r="1">
      <c r="A1" s="15" t="inlineStr">
        <is>
          <t>Appeal_Type</t>
        </is>
      </c>
      <c r="B1" s="15" t="inlineStr">
        <is>
          <t>SLA compliance %</t>
        </is>
      </c>
    </row>
    <row r="2">
      <c r="A2" t="inlineStr">
        <is>
          <t>Pharmacy</t>
        </is>
      </c>
      <c r="B2" t="n">
        <v>14.38</v>
      </c>
    </row>
    <row r="3">
      <c r="A3" t="inlineStr">
        <is>
          <t>Authorization</t>
        </is>
      </c>
      <c r="B3" t="n">
        <v>17.62</v>
      </c>
    </row>
    <row r="4">
      <c r="A4" t="inlineStr">
        <is>
          <t>Clinical</t>
        </is>
      </c>
      <c r="B4" t="n">
        <v>50.25</v>
      </c>
    </row>
    <row r="5">
      <c r="A5" t="inlineStr">
        <is>
          <t>Claims Payment</t>
        </is>
      </c>
      <c r="B5" t="n">
        <v>80.3</v>
      </c>
    </row>
    <row r="6">
      <c r="A6" t="inlineStr">
        <is>
          <t>Administrative</t>
        </is>
      </c>
      <c r="B6" t="n">
        <v>80.59999999999999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30" customWidth="1" min="1" max="1"/>
    <col width="17" customWidth="1" min="2" max="2"/>
    <col width="17" customWidth="1" min="3" max="3"/>
    <col width="17" customWidth="1" min="4" max="4"/>
  </cols>
  <sheetData>
    <row r="1">
      <c r="A1" s="15" t="inlineStr">
        <is>
          <t>Friction_Category</t>
        </is>
      </c>
      <c r="B1" s="15" t="inlineStr">
        <is>
          <t>SLA compliance %</t>
        </is>
      </c>
      <c r="C1" s="15" t="inlineStr">
        <is>
          <t>Rework %</t>
        </is>
      </c>
      <c r="D1" s="15" t="inlineStr">
        <is>
          <t>Avg turnaround (days)</t>
        </is>
      </c>
    </row>
    <row r="2">
      <c r="A2" t="inlineStr">
        <is>
          <t>Low friction</t>
        </is>
      </c>
      <c r="B2" t="n">
        <v>59.03</v>
      </c>
      <c r="C2" t="n">
        <v>7.12</v>
      </c>
      <c r="D2" t="n">
        <v>11.8</v>
      </c>
    </row>
    <row r="3">
      <c r="A3" t="inlineStr">
        <is>
          <t>Moderate friction</t>
        </is>
      </c>
      <c r="B3" t="n">
        <v>43.95</v>
      </c>
      <c r="C3" t="n">
        <v>22.17</v>
      </c>
      <c r="D3" t="n">
        <v>15.6</v>
      </c>
    </row>
    <row r="4">
      <c r="A4" t="inlineStr">
        <is>
          <t>High friction</t>
        </is>
      </c>
      <c r="B4" t="n">
        <v>25.48</v>
      </c>
      <c r="C4" t="n">
        <v>25.38</v>
      </c>
      <c r="D4" t="n">
        <v>23.4</v>
      </c>
    </row>
    <row r="5">
      <c r="A5" t="inlineStr">
        <is>
          <t>Critical friction</t>
        </is>
      </c>
      <c r="B5" t="n">
        <v>8.9</v>
      </c>
      <c r="C5" t="n">
        <v>34.84</v>
      </c>
      <c r="D5" t="n">
        <v>30.8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30" customWidth="1" min="1" max="1"/>
    <col width="17" customWidth="1" min="2" max="2"/>
    <col width="17" customWidth="1" min="3" max="3"/>
    <col width="17" customWidth="1" min="4" max="4"/>
  </cols>
  <sheetData>
    <row r="1">
      <c r="A1" s="15" t="inlineStr">
        <is>
          <t>bucket</t>
        </is>
      </c>
      <c r="B1" s="15" t="inlineStr">
        <is>
          <t>Avg turnaround (days)</t>
        </is>
      </c>
      <c r="C1" s="15" t="inlineStr">
        <is>
          <t>Pending-info days</t>
        </is>
      </c>
      <c r="D1" s="15" t="inlineStr">
        <is>
          <t>Intake days</t>
        </is>
      </c>
    </row>
    <row r="2">
      <c r="A2" t="inlineStr">
        <is>
          <t>Documentation complete at intake</t>
        </is>
      </c>
      <c r="B2" t="n">
        <v>12.7</v>
      </c>
      <c r="C2" t="n">
        <v>0</v>
      </c>
      <c r="D2" t="n">
        <v>0.89</v>
      </c>
    </row>
    <row r="3">
      <c r="A3" t="inlineStr">
        <is>
          <t>Documentation incomplete at intake</t>
        </is>
      </c>
      <c r="B3" t="n">
        <v>22.1</v>
      </c>
      <c r="C3" t="n">
        <v>5.17</v>
      </c>
      <c r="D3" t="n">
        <v>0.92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
  <sheetViews>
    <sheetView workbookViewId="0">
      <pane ySplit="1" topLeftCell="A2" activePane="bottomLeft" state="frozen"/>
      <selection pane="bottomLeft" activeCell="A1" sqref="A1"/>
    </sheetView>
  </sheetViews>
  <sheetFormatPr baseColWidth="8" defaultRowHeight="15"/>
  <cols>
    <col width="30" customWidth="1" min="1" max="1"/>
    <col width="17" customWidth="1" min="2" max="2"/>
    <col width="17" customWidth="1" min="3" max="3"/>
  </cols>
  <sheetData>
    <row r="1">
      <c r="A1" s="15" t="inlineStr">
        <is>
          <t>bucket</t>
        </is>
      </c>
      <c r="B1" s="15" t="inlineStr">
        <is>
          <t>Avg turnaround (days)</t>
        </is>
      </c>
      <c r="C1" s="15" t="inlineStr">
        <is>
          <t>SLA compliance %</t>
        </is>
      </c>
    </row>
    <row r="2">
      <c r="A2" t="inlineStr">
        <is>
          <t>Clean first pass</t>
        </is>
      </c>
      <c r="B2" t="n">
        <v>14</v>
      </c>
      <c r="C2" t="n">
        <v>52.65</v>
      </c>
    </row>
    <row r="3">
      <c r="A3" t="inlineStr">
        <is>
          <t>Reworked</t>
        </is>
      </c>
      <c r="B3" t="n">
        <v>21.1</v>
      </c>
      <c r="C3" t="n">
        <v>29.41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30" customWidth="1" min="1" max="1"/>
    <col width="17" customWidth="1" min="2" max="2"/>
    <col width="17" customWidth="1" min="3" max="3"/>
    <col width="17" customWidth="1" min="4" max="4"/>
  </cols>
  <sheetData>
    <row r="1">
      <c r="A1" s="15" t="inlineStr">
        <is>
          <t>month</t>
        </is>
      </c>
      <c r="B1" s="15" t="inlineStr">
        <is>
          <t>SLA compliance %</t>
        </is>
      </c>
      <c r="C1" s="15" t="inlineStr">
        <is>
          <t>Avg turnaround (days)</t>
        </is>
      </c>
      <c r="D1" s="15" t="inlineStr">
        <is>
          <t>Appeals received</t>
        </is>
      </c>
    </row>
    <row r="2">
      <c r="A2" t="inlineStr">
        <is>
          <t>2026-01</t>
        </is>
      </c>
      <c r="B2" t="n">
        <v>48.85</v>
      </c>
      <c r="C2" t="n">
        <v>15.4</v>
      </c>
      <c r="D2" t="n">
        <v>477</v>
      </c>
    </row>
    <row r="3">
      <c r="A3" t="inlineStr">
        <is>
          <t>2026-02</t>
        </is>
      </c>
      <c r="B3" t="n">
        <v>51.69</v>
      </c>
      <c r="C3" t="n">
        <v>15</v>
      </c>
      <c r="D3" t="n">
        <v>385</v>
      </c>
    </row>
    <row r="4">
      <c r="A4" t="inlineStr">
        <is>
          <t>2026-03</t>
        </is>
      </c>
      <c r="B4" t="n">
        <v>47.49</v>
      </c>
      <c r="C4" t="n">
        <v>15.3</v>
      </c>
      <c r="D4" t="n">
        <v>459</v>
      </c>
    </row>
    <row r="5">
      <c r="A5" t="inlineStr">
        <is>
          <t>2026-04</t>
        </is>
      </c>
      <c r="B5" t="n">
        <v>44.77</v>
      </c>
      <c r="C5" t="n">
        <v>16.2</v>
      </c>
      <c r="D5" t="n">
        <v>449</v>
      </c>
    </row>
    <row r="6">
      <c r="A6" t="inlineStr">
        <is>
          <t>2026-05</t>
        </is>
      </c>
      <c r="B6" t="n">
        <v>45.96</v>
      </c>
      <c r="C6" t="n">
        <v>15.1</v>
      </c>
      <c r="D6" t="n">
        <v>446</v>
      </c>
    </row>
    <row r="7">
      <c r="A7" t="inlineStr">
        <is>
          <t>2026-06</t>
        </is>
      </c>
      <c r="B7" t="n">
        <v>51.74</v>
      </c>
      <c r="C7" t="n">
        <v>14.7</v>
      </c>
      <c r="D7" t="n">
        <v>431</v>
      </c>
    </row>
    <row r="8">
      <c r="A8" t="inlineStr">
        <is>
          <t>2026-07</t>
        </is>
      </c>
      <c r="B8" t="n">
        <v>49.11</v>
      </c>
      <c r="C8" t="n">
        <v>15.1</v>
      </c>
      <c r="D8" t="n">
        <v>448</v>
      </c>
    </row>
    <row r="9">
      <c r="A9" t="inlineStr">
        <is>
          <t>2026-08</t>
        </is>
      </c>
      <c r="B9" t="n">
        <v>51.54</v>
      </c>
      <c r="C9" t="n">
        <v>14.4</v>
      </c>
      <c r="D9" t="n">
        <v>462</v>
      </c>
    </row>
    <row r="10">
      <c r="A10" t="inlineStr">
        <is>
          <t>2026-09</t>
        </is>
      </c>
      <c r="B10" t="n">
        <v>61.95</v>
      </c>
      <c r="C10" t="n">
        <v>11</v>
      </c>
      <c r="D10" t="n">
        <v>409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2026-09-23T23:49:50Z</dcterms:created>
  <dcterms:modified xmlns:dcterms="http://purl.org/dc/terms/" xmlns:xsi="http://www.w3.org/2001/XMLSchema-instance" xsi:type="dcterms:W3CDTF">2026-09-23T23:49:51Z</dcterms:modified>
</cp:coreProperties>
</file>